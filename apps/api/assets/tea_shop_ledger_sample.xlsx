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Ledger_Raw" sheetId="2" state="visible" r:id="rId4"/>
    <sheet name="Expenses" sheetId="3" state="visible" r:id="rId5"/>
    <sheet name="Staff_Payments" sheetId="4" state="visible" r:id="rId6"/>
    <sheet name="Daily_Closing" sheetId="5" state="visible" r:id="rId7"/>
    <sheet name="Category_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<sst xmlns="http://schemas.openxmlformats.org/spreadsheetml/2006/main" count="369" uniqueCount="212">
  <si>
    <t xml:space="preserve">Tea Shop Ledger - converted from handwritten page</t>
  </si>
  <si>
    <t xml:space="preserve">Settings (edit the yellow cells; every sheet picks them up)</t>
  </si>
  <si>
    <t xml:space="preserve">Ledger date</t>
  </si>
  <si>
    <t xml:space="preserve">Handwritten date reads like 19/10/25 - please confirm</t>
  </si>
  <si>
    <t xml:space="preserve">Branch ID</t>
  </si>
  <si>
    <t xml:space="preserve">BR001</t>
  </si>
  <si>
    <t xml:space="preserve">Branch not written on the page - placeholder, set the real branch ID (configurable per SRS section 3)</t>
  </si>
  <si>
    <t xml:space="preserve">Sheets (follow the SRS table design)</t>
  </si>
  <si>
    <t xml:space="preserve">Ledger_Raw - every line exactly as read from the photo (Col A / Col B / Col C = the three number columns). Orange rows need your review.</t>
  </si>
  <si>
    <t xml:space="preserve">Expenses - purchase lines mapped to SRS expense fields (category, sub-category, amount, payment mode, approval status).</t>
  </si>
  <si>
    <t xml:space="preserve">Staff_Payments - the name list on the right of the page, mapped to SRS employee advance / salary fields.</t>
  </si>
  <si>
    <t xml:space="preserve">Daily_Closing - SRS section 5/6 cash reconciliation and closing summary. Sales and actual cash were not on the page: fill the yellow cells.</t>
  </si>
  <si>
    <t xml:space="preserve">Category_Summary - expense totals by category (SRS section 7), with a check against the ledger.</t>
  </si>
  <si>
    <t xml:space="preserve">Assumptions made while reading the page</t>
  </si>
  <si>
    <t xml:space="preserve">1. Column header on the page reads 'Collns'; its meaning for the three columns is unclear. Col B is treated as the final amount (it has the most entries). Col A and Col C are kept for reference.</t>
  </si>
  <si>
    <t xml:space="preserve">2. 'Mill' written for Silk / Dh. / J. / Jaila / Pol. was read as Milk.</t>
  </si>
  <si>
    <t xml:space="preserve">3. 'R.F' (2000 / 2000) is treated as opening cash / float, not a purchase.</t>
  </si>
  <si>
    <t xml:space="preserve">4. All purchase lines are assumed paid in Cash (blue text) - change the payment mode where that is wrong.</t>
  </si>
  <si>
    <t xml:space="preserve">5. Items I could not identify (G.J, C-gold, JOP, P.M.V, C-Yoll) are categorised 'Needs review'.</t>
  </si>
  <si>
    <t xml:space="preserve">6. The right-hand name list has an unreadable heading; it is treated as staff payments / advances, type to be confirmed. 'Beer' may be a name or an item.</t>
  </si>
  <si>
    <t xml:space="preserve">7. Blue font = typed input / assumption, black = formula.</t>
  </si>
  <si>
    <t xml:space="preserve">Line</t>
  </si>
  <si>
    <t xml:space="preserve">Date</t>
  </si>
  <si>
    <t xml:space="preserve">Item (as written)</t>
  </si>
  <si>
    <t xml:space="preserve">Item (interpreted)</t>
  </si>
  <si>
    <t xml:space="preserve">Col A</t>
  </si>
  <si>
    <t xml:space="preserve">Col B</t>
  </si>
  <si>
    <t xml:space="preserve">Col C</t>
  </si>
  <si>
    <t xml:space="preserve">Confidence</t>
  </si>
  <si>
    <t xml:space="preserve">Notes</t>
  </si>
  <si>
    <t xml:space="preserve">R.F</t>
  </si>
  <si>
    <t xml:space="preserve">Opening cash / float</t>
  </si>
  <si>
    <t xml:space="preserve">Medium</t>
  </si>
  <si>
    <t xml:space="preserve">Not a purchase; used as opening cash</t>
  </si>
  <si>
    <t xml:space="preserve">Silk Mill</t>
  </si>
  <si>
    <t xml:space="preserve">Silk Milk</t>
  </si>
  <si>
    <t xml:space="preserve">Col C may be a running total</t>
  </si>
  <si>
    <t xml:space="preserve">Dh. Mill</t>
  </si>
  <si>
    <t xml:space="preserve">Dh. Milk</t>
  </si>
  <si>
    <t xml:space="preserve">Low</t>
  </si>
  <si>
    <t xml:space="preserve">Col C hard to read (52125?)</t>
  </si>
  <si>
    <t xml:space="preserve">J. Mill</t>
  </si>
  <si>
    <t xml:space="preserve">J. Milk</t>
  </si>
  <si>
    <t xml:space="preserve">Col C reads like 7.50 - unclear, left blank</t>
  </si>
  <si>
    <t xml:space="preserve">Jaila Mill</t>
  </si>
  <si>
    <t xml:space="preserve">Jaila Milk</t>
  </si>
  <si>
    <t xml:space="preserve">Pol. Mill</t>
  </si>
  <si>
    <t xml:space="preserve">Pol. Milk</t>
  </si>
  <si>
    <t xml:space="preserve">Name written, no amount</t>
  </si>
  <si>
    <t xml:space="preserve">Food</t>
  </si>
  <si>
    <t xml:space="preserve">Water</t>
  </si>
  <si>
    <t xml:space="preserve">Cutlet</t>
  </si>
  <si>
    <t xml:space="preserve">Nuts</t>
  </si>
  <si>
    <t xml:space="preserve">Samsa</t>
  </si>
  <si>
    <t xml:space="preserve">G.J</t>
  </si>
  <si>
    <t xml:space="preserve">G.J (unclear)</t>
  </si>
  <si>
    <t xml:space="preserve">Item name unclear</t>
  </si>
  <si>
    <t xml:space="preserve">C-gold</t>
  </si>
  <si>
    <t xml:space="preserve">C-gold (unclear)</t>
  </si>
  <si>
    <t xml:space="preserve">Largest line; item name unclear - please confirm</t>
  </si>
  <si>
    <t xml:space="preserve">D-Snack</t>
  </si>
  <si>
    <t xml:space="preserve">Col C illegible</t>
  </si>
  <si>
    <t xml:space="preserve">Bakery</t>
  </si>
  <si>
    <t xml:space="preserve">Boli</t>
  </si>
  <si>
    <t xml:space="preserve">Col C small note beside it</t>
  </si>
  <si>
    <t xml:space="preserve">Sundal</t>
  </si>
  <si>
    <t xml:space="preserve">Chocke</t>
  </si>
  <si>
    <t xml:space="preserve">Chocolate? (unclear)</t>
  </si>
  <si>
    <t xml:space="preserve">JOP</t>
  </si>
  <si>
    <t xml:space="preserve">JOP (unclear)</t>
  </si>
  <si>
    <t xml:space="preserve">Coke Cola</t>
  </si>
  <si>
    <t xml:space="preserve">Coca-Cola</t>
  </si>
  <si>
    <t xml:space="preserve">Aquamar</t>
  </si>
  <si>
    <t xml:space="preserve">Aquamar (bottled water?)</t>
  </si>
  <si>
    <t xml:space="preserve">Soup</t>
  </si>
  <si>
    <t xml:space="preserve">Paal Kova</t>
  </si>
  <si>
    <t xml:space="preserve">P.M.V</t>
  </si>
  <si>
    <t xml:space="preserve">P.M.V (unclear)</t>
  </si>
  <si>
    <t xml:space="preserve">C-Yoll</t>
  </si>
  <si>
    <t xml:space="preserve">C-Yoll (unclear)</t>
  </si>
  <si>
    <t xml:space="preserve">Total (excl. R.F)</t>
  </si>
  <si>
    <t xml:space="preserve">Col C is a mixed column (totals/notes); its total is not meaningful.</t>
  </si>
  <si>
    <t xml:space="preserve">Expense ID</t>
  </si>
  <si>
    <t xml:space="preserve">Category</t>
  </si>
  <si>
    <t xml:space="preserve">Sub-category</t>
  </si>
  <si>
    <t xml:space="preserve">Amount (Rs)</t>
  </si>
  <si>
    <t xml:space="preserve">Payment mode</t>
  </si>
  <si>
    <t xml:space="preserve">Supplier / payee</t>
  </si>
  <si>
    <t xml:space="preserve">Description</t>
  </si>
  <si>
    <t xml:space="preserve">Entered by</t>
  </si>
  <si>
    <t xml:space="preserve">Approval status</t>
  </si>
  <si>
    <t xml:space="preserve">Source ledger line</t>
  </si>
  <si>
    <t xml:space="preserve">EXP-001</t>
  </si>
  <si>
    <t xml:space="preserve">Milk</t>
  </si>
  <si>
    <t xml:space="preserve">Silk</t>
  </si>
  <si>
    <t xml:space="preserve">Cash</t>
  </si>
  <si>
    <t xml:space="preserve">Silk Milk (ledger: Silk Mill)</t>
  </si>
  <si>
    <t xml:space="preserve">Pending</t>
  </si>
  <si>
    <t xml:space="preserve">EXP-002</t>
  </si>
  <si>
    <t xml:space="preserve">Dh.</t>
  </si>
  <si>
    <t xml:space="preserve">Dh. Milk (ledger: Dh. Mill)</t>
  </si>
  <si>
    <t xml:space="preserve">EXP-003</t>
  </si>
  <si>
    <t xml:space="preserve">J.</t>
  </si>
  <si>
    <t xml:space="preserve">J. Milk (ledger: J. Mill)</t>
  </si>
  <si>
    <t xml:space="preserve">EXP-004</t>
  </si>
  <si>
    <t xml:space="preserve">Jaila</t>
  </si>
  <si>
    <t xml:space="preserve">Jaila Milk (ledger: Jaila Mill)</t>
  </si>
  <si>
    <t xml:space="preserve">EXP-005</t>
  </si>
  <si>
    <t xml:space="preserve">Snacks/raw materials</t>
  </si>
  <si>
    <t xml:space="preserve">Food (ledger: Food)</t>
  </si>
  <si>
    <t xml:space="preserve">EXP-006</t>
  </si>
  <si>
    <t xml:space="preserve">Miscellaneous</t>
  </si>
  <si>
    <t xml:space="preserve">Water (ledger: Water)</t>
  </si>
  <si>
    <t xml:space="preserve">EXP-007</t>
  </si>
  <si>
    <t xml:space="preserve">Cutlet (ledger: Cutlet)</t>
  </si>
  <si>
    <t xml:space="preserve">EXP-008</t>
  </si>
  <si>
    <t xml:space="preserve">Nuts (ledger: Nuts)</t>
  </si>
  <si>
    <t xml:space="preserve">EXP-009</t>
  </si>
  <si>
    <t xml:space="preserve">Samsa (ledger: Samsa)</t>
  </si>
  <si>
    <t xml:space="preserve">EXP-010</t>
  </si>
  <si>
    <t xml:space="preserve">Needs review</t>
  </si>
  <si>
    <t xml:space="preserve">G.J (unclear) (ledger: G.J)</t>
  </si>
  <si>
    <t xml:space="preserve">EXP-011</t>
  </si>
  <si>
    <t xml:space="preserve">C-gold (unclear) (ledger: C-gold)</t>
  </si>
  <si>
    <t xml:space="preserve">EXP-012</t>
  </si>
  <si>
    <t xml:space="preserve">D-Snack (ledger: D-Snack)</t>
  </si>
  <si>
    <t xml:space="preserve">EXP-013</t>
  </si>
  <si>
    <t xml:space="preserve">Bakery (ledger: Bakery)</t>
  </si>
  <si>
    <t xml:space="preserve">EXP-014</t>
  </si>
  <si>
    <t xml:space="preserve">Boli (ledger: Boli)</t>
  </si>
  <si>
    <t xml:space="preserve">EXP-015</t>
  </si>
  <si>
    <t xml:space="preserve">Sundal (ledger: Sundal)</t>
  </si>
  <si>
    <t xml:space="preserve">EXP-016</t>
  </si>
  <si>
    <t xml:space="preserve">Chocolate?</t>
  </si>
  <si>
    <t xml:space="preserve">Chocolate? (unclear) (ledger: Chocke)</t>
  </si>
  <si>
    <t xml:space="preserve">EXP-017</t>
  </si>
  <si>
    <t xml:space="preserve">JOP (unclear) (ledger: JOP)</t>
  </si>
  <si>
    <t xml:space="preserve">EXP-018</t>
  </si>
  <si>
    <t xml:space="preserve">Cold drinks</t>
  </si>
  <si>
    <t xml:space="preserve">Coca-Cola (ledger: Coke Cola)</t>
  </si>
  <si>
    <t xml:space="preserve">EXP-019</t>
  </si>
  <si>
    <t xml:space="preserve">Water bottles</t>
  </si>
  <si>
    <t xml:space="preserve">Aquamar (bottled water?) (ledger: Aquamar)</t>
  </si>
  <si>
    <t xml:space="preserve">EXP-020</t>
  </si>
  <si>
    <t xml:space="preserve">Soup (ledger: Soup)</t>
  </si>
  <si>
    <t xml:space="preserve">EXP-021</t>
  </si>
  <si>
    <t xml:space="preserve">Paal Kova (ledger: Paal Kova)</t>
  </si>
  <si>
    <t xml:space="preserve">EXP-022</t>
  </si>
  <si>
    <t xml:space="preserve">P.M.V (unclear) (ledger: P.M.V)</t>
  </si>
  <si>
    <t xml:space="preserve">EXP-023</t>
  </si>
  <si>
    <t xml:space="preserve">C-Yoll (unclear) (ledger: C-Yoll)</t>
  </si>
  <si>
    <t xml:space="preserve">Total</t>
  </si>
  <si>
    <t xml:space="preserve">Record ID</t>
  </si>
  <si>
    <t xml:space="preserve">Name</t>
  </si>
  <si>
    <t xml:space="preserve">Type (confirm)</t>
  </si>
  <si>
    <t xml:space="preserve">Status</t>
  </si>
  <si>
    <t xml:space="preserve">SP-001</t>
  </si>
  <si>
    <t xml:space="preserve">Shail</t>
  </si>
  <si>
    <t xml:space="preserve">Advance / salary (to confirm)</t>
  </si>
  <si>
    <t xml:space="preserve">Written as 1000 + 300</t>
  </si>
  <si>
    <t xml:space="preserve">SP-002</t>
  </si>
  <si>
    <t xml:space="preserve">Riyas</t>
  </si>
  <si>
    <t xml:space="preserve">SP-003</t>
  </si>
  <si>
    <t xml:space="preserve">Amma</t>
  </si>
  <si>
    <t xml:space="preserve">Digit unclear (500 or 800)</t>
  </si>
  <si>
    <t xml:space="preserve">SP-004</t>
  </si>
  <si>
    <t xml:space="preserve">Ahamed</t>
  </si>
  <si>
    <t xml:space="preserve">SP-005</t>
  </si>
  <si>
    <t xml:space="preserve">Ameen</t>
  </si>
  <si>
    <t xml:space="preserve">SP-006</t>
  </si>
  <si>
    <t xml:space="preserve">Ajay</t>
  </si>
  <si>
    <t xml:space="preserve">SP-007</t>
  </si>
  <si>
    <t xml:space="preserve">Hitham</t>
  </si>
  <si>
    <t xml:space="preserve">SP-008</t>
  </si>
  <si>
    <t xml:space="preserve">Karman</t>
  </si>
  <si>
    <t xml:space="preserve">SP-009</t>
  </si>
  <si>
    <t xml:space="preserve">Lakshi</t>
  </si>
  <si>
    <t xml:space="preserve">SP-010</t>
  </si>
  <si>
    <t xml:space="preserve">Dhanraj</t>
  </si>
  <si>
    <t xml:space="preserve">SP-011</t>
  </si>
  <si>
    <t xml:space="preserve">Rajendra</t>
  </si>
  <si>
    <t xml:space="preserve">Could be 660</t>
  </si>
  <si>
    <t xml:space="preserve">SP-012</t>
  </si>
  <si>
    <t xml:space="preserve">Beer</t>
  </si>
  <si>
    <t xml:space="preserve">May be a name or an item - please confirm</t>
  </si>
  <si>
    <t xml:space="preserve">SP-013</t>
  </si>
  <si>
    <t xml:space="preserve">MD</t>
  </si>
  <si>
    <t xml:space="preserve">A circled 500 is written next to it - not added</t>
  </si>
  <si>
    <t xml:space="preserve">SP-014</t>
  </si>
  <si>
    <t xml:space="preserve">Nabil</t>
  </si>
  <si>
    <t xml:space="preserve">SP-015</t>
  </si>
  <si>
    <t xml:space="preserve">Aasif</t>
  </si>
  <si>
    <t xml:space="preserve">Daily Cash Reconciliation / Closing (SRS sections 5 and 6)</t>
  </si>
  <si>
    <t xml:space="preserve">Opening cash</t>
  </si>
  <si>
    <t xml:space="preserve">Total sales (enter)</t>
  </si>
  <si>
    <t xml:space="preserve">Cash sales (enter)</t>
  </si>
  <si>
    <t xml:space="preserve">UPI sales (enter)</t>
  </si>
  <si>
    <t xml:space="preserve">Card / bank sales (enter)</t>
  </si>
  <si>
    <t xml:space="preserve">Credit sales (enter)</t>
  </si>
  <si>
    <t xml:space="preserve">Sales check: Total - (Cash+UPI+Card+Credit)</t>
  </si>
  <si>
    <t xml:space="preserve">Cash expenses / purchases</t>
  </si>
  <si>
    <t xml:space="preserve">Staff payments (assumed cash)</t>
  </si>
  <si>
    <t xml:space="preserve">Expected closing cash</t>
  </si>
  <si>
    <t xml:space="preserve">Actual closing cash (enter)</t>
  </si>
  <si>
    <t xml:space="preserve">Cash surplus / (shortage)</t>
  </si>
  <si>
    <t xml:space="preserve">Variance reason (required if not zero)</t>
  </si>
  <si>
    <t xml:space="preserve">Closing status</t>
  </si>
  <si>
    <t xml:space="preserve">Pending Closing</t>
  </si>
  <si>
    <t xml:space="preserve">Expected closing = Opening cash + Cash sales - Cash expenses/purchases - Staff payments. Sales and actual cash were not on the handwritten page.</t>
  </si>
  <si>
    <t xml:space="preserve">% of total</t>
  </si>
  <si>
    <t xml:space="preserve">Check vs Ledger_Raw Col B total</t>
  </si>
  <si>
    <t xml:space="preserve">Should be 0 (opening cash row excluded)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</si>
</sst>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#,##0;\(#,##0\);\-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FCE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"/>
    <col collapsed="false" customWidth="true" hidden="false" outlineLevel="0" max="3" min="3" style="0" width="16"/>
    <col collapsed="false" customWidth="true" hidden="false" outlineLevel="0" max="4" min="4" style="0" width="9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C4" s="4" t="n">
        <v>45949</v>
      </c>
      <c r="D4" s="3" t="s">
        <v>3</v>
      </c>
    </row>
    <row r="5" customFormat="false" ht="15" hidden="false" customHeight="false" outlineLevel="0" collapsed="false">
      <c r="A5" s="3" t="s">
        <v>4</v>
      </c>
      <c r="C5" s="5" t="s">
        <v>5</v>
      </c>
      <c r="D5" s="3" t="s">
        <v>6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2" t="s">
        <v>7</v>
      </c>
    </row>
    <row r="9" customFormat="false" ht="15" hidden="false" customHeight="false" outlineLevel="0" collapsed="false">
      <c r="A9" s="3" t="s">
        <v>8</v>
      </c>
    </row>
    <row r="10" customFormat="false" ht="15" hidden="false" customHeight="false" outlineLevel="0" collapsed="false">
      <c r="A10" s="3" t="s">
        <v>9</v>
      </c>
    </row>
    <row r="11" customFormat="false" ht="15" hidden="false" customHeight="false" outlineLevel="0" collapsed="false">
      <c r="A11" s="3" t="s">
        <v>10</v>
      </c>
    </row>
    <row r="12" customFormat="false" ht="15" hidden="false" customHeight="false" outlineLevel="0" collapsed="false">
      <c r="A12" s="3" t="s">
        <v>11</v>
      </c>
    </row>
    <row r="13" customFormat="false" ht="15" hidden="false" customHeight="false" outlineLevel="0" collapsed="false">
      <c r="A13" s="3" t="s">
        <v>12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2" t="s">
        <v>13</v>
      </c>
    </row>
    <row r="16" customFormat="false" ht="15" hidden="false" customHeight="false" outlineLevel="0" collapsed="false">
      <c r="A16" s="3" t="s">
        <v>14</v>
      </c>
    </row>
    <row r="17" customFormat="false" ht="15" hidden="false" customHeight="false" outlineLevel="0" collapsed="false">
      <c r="A17" s="3" t="s">
        <v>15</v>
      </c>
    </row>
    <row r="18" customFormat="false" ht="15" hidden="false" customHeight="false" outlineLevel="0" collapsed="false">
      <c r="A18" s="3" t="s">
        <v>16</v>
      </c>
    </row>
    <row r="19" customFormat="false" ht="15" hidden="false" customHeight="false" outlineLevel="0" collapsed="false">
      <c r="A19" s="3" t="s">
        <v>17</v>
      </c>
    </row>
    <row r="20" customFormat="false" ht="15" hidden="false" customHeight="false" outlineLevel="0" collapsed="false">
      <c r="A20" s="3" t="s">
        <v>18</v>
      </c>
    </row>
    <row r="21" customFormat="false" ht="15" hidden="false" customHeight="false" outlineLevel="0" collapsed="false">
      <c r="A21" s="3" t="s">
        <v>19</v>
      </c>
    </row>
    <row r="22" customFormat="false" ht="15" hidden="false" customHeight="false" outlineLevel="0" collapsed="false">
      <c r="A22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48"/>
  </cols>
  <sheetData>
    <row r="1" customFormat="false" ht="15" hidden="false" customHeight="false" outlineLevel="0" collapsed="false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</row>
    <row r="2" customFormat="false" ht="15" hidden="false" customHeight="false" outlineLevel="0" collapsed="false">
      <c r="A2" s="7" t="n">
        <v>1</v>
      </c>
      <c r="B2" s="8" t="n">
        <f aca="false">README!$C$4</f>
        <v>45949</v>
      </c>
      <c r="C2" s="7" t="s">
        <v>30</v>
      </c>
      <c r="D2" s="7" t="s">
        <v>31</v>
      </c>
      <c r="E2" s="9" t="n">
        <v>2000</v>
      </c>
      <c r="F2" s="9" t="n">
        <v>2000</v>
      </c>
      <c r="G2" s="9"/>
      <c r="H2" s="7" t="s">
        <v>32</v>
      </c>
      <c r="I2" s="7" t="s">
        <v>33</v>
      </c>
    </row>
    <row r="3" customFormat="false" ht="15" hidden="false" customHeight="false" outlineLevel="0" collapsed="false">
      <c r="A3" s="7" t="n">
        <v>2</v>
      </c>
      <c r="B3" s="8" t="n">
        <f aca="false">README!$C$4</f>
        <v>45949</v>
      </c>
      <c r="C3" s="7" t="s">
        <v>34</v>
      </c>
      <c r="D3" s="7" t="s">
        <v>35</v>
      </c>
      <c r="E3" s="9" t="n">
        <v>1800</v>
      </c>
      <c r="F3" s="9" t="n">
        <v>2100</v>
      </c>
      <c r="G3" s="9" t="n">
        <v>11370</v>
      </c>
      <c r="H3" s="7" t="s">
        <v>32</v>
      </c>
      <c r="I3" s="7" t="s">
        <v>36</v>
      </c>
    </row>
    <row r="4" customFormat="false" ht="15" hidden="false" customHeight="false" outlineLevel="0" collapsed="false">
      <c r="A4" s="10" t="n">
        <v>3</v>
      </c>
      <c r="B4" s="11" t="n">
        <f aca="false">README!$C$4</f>
        <v>45949</v>
      </c>
      <c r="C4" s="10" t="s">
        <v>37</v>
      </c>
      <c r="D4" s="10" t="s">
        <v>38</v>
      </c>
      <c r="E4" s="12" t="n">
        <v>1860</v>
      </c>
      <c r="F4" s="12" t="n">
        <v>1450</v>
      </c>
      <c r="G4" s="12" t="n">
        <v>52125</v>
      </c>
      <c r="H4" s="10" t="s">
        <v>39</v>
      </c>
      <c r="I4" s="10" t="s">
        <v>40</v>
      </c>
    </row>
    <row r="5" customFormat="false" ht="15" hidden="false" customHeight="false" outlineLevel="0" collapsed="false">
      <c r="A5" s="10" t="n">
        <v>4</v>
      </c>
      <c r="B5" s="11" t="n">
        <f aca="false">README!$C$4</f>
        <v>45949</v>
      </c>
      <c r="C5" s="10" t="s">
        <v>41</v>
      </c>
      <c r="D5" s="10" t="s">
        <v>42</v>
      </c>
      <c r="E5" s="12" t="n">
        <v>860</v>
      </c>
      <c r="F5" s="12" t="n">
        <v>860</v>
      </c>
      <c r="G5" s="12"/>
      <c r="H5" s="10" t="s">
        <v>39</v>
      </c>
      <c r="I5" s="10" t="s">
        <v>43</v>
      </c>
    </row>
    <row r="6" customFormat="false" ht="15" hidden="false" customHeight="false" outlineLevel="0" collapsed="false">
      <c r="A6" s="7" t="n">
        <v>5</v>
      </c>
      <c r="B6" s="8" t="n">
        <f aca="false">README!$C$4</f>
        <v>45949</v>
      </c>
      <c r="C6" s="7" t="s">
        <v>44</v>
      </c>
      <c r="D6" s="7" t="s">
        <v>45</v>
      </c>
      <c r="E6" s="9" t="n">
        <v>3600</v>
      </c>
      <c r="F6" s="9" t="n">
        <v>4100</v>
      </c>
      <c r="G6" s="9"/>
      <c r="H6" s="7" t="s">
        <v>32</v>
      </c>
      <c r="I6" s="7"/>
    </row>
    <row r="7" customFormat="false" ht="15" hidden="false" customHeight="false" outlineLevel="0" collapsed="false">
      <c r="A7" s="7" t="n">
        <v>6</v>
      </c>
      <c r="B7" s="8" t="n">
        <f aca="false">README!$C$4</f>
        <v>45949</v>
      </c>
      <c r="C7" s="7" t="s">
        <v>46</v>
      </c>
      <c r="D7" s="7" t="s">
        <v>47</v>
      </c>
      <c r="E7" s="9"/>
      <c r="F7" s="9"/>
      <c r="G7" s="9"/>
      <c r="H7" s="7" t="s">
        <v>32</v>
      </c>
      <c r="I7" s="7" t="s">
        <v>48</v>
      </c>
    </row>
    <row r="8" customFormat="false" ht="15" hidden="false" customHeight="false" outlineLevel="0" collapsed="false">
      <c r="A8" s="7" t="n">
        <v>7</v>
      </c>
      <c r="B8" s="8" t="n">
        <f aca="false">README!$C$4</f>
        <v>45949</v>
      </c>
      <c r="C8" s="7" t="s">
        <v>49</v>
      </c>
      <c r="D8" s="7" t="s">
        <v>49</v>
      </c>
      <c r="E8" s="9" t="n">
        <v>650</v>
      </c>
      <c r="F8" s="9" t="n">
        <v>650</v>
      </c>
      <c r="G8" s="9"/>
      <c r="H8" s="7" t="s">
        <v>32</v>
      </c>
      <c r="I8" s="7"/>
    </row>
    <row r="9" customFormat="false" ht="15" hidden="false" customHeight="false" outlineLevel="0" collapsed="false">
      <c r="A9" s="7" t="n">
        <v>8</v>
      </c>
      <c r="B9" s="8" t="n">
        <f aca="false">README!$C$4</f>
        <v>45949</v>
      </c>
      <c r="C9" s="7" t="s">
        <v>50</v>
      </c>
      <c r="D9" s="7" t="s">
        <v>50</v>
      </c>
      <c r="E9" s="9" t="n">
        <v>120</v>
      </c>
      <c r="F9" s="9" t="n">
        <v>120</v>
      </c>
      <c r="G9" s="9"/>
      <c r="H9" s="7" t="s">
        <v>32</v>
      </c>
      <c r="I9" s="7"/>
    </row>
    <row r="10" customFormat="false" ht="15" hidden="false" customHeight="false" outlineLevel="0" collapsed="false">
      <c r="A10" s="7" t="n">
        <v>9</v>
      </c>
      <c r="B10" s="8" t="n">
        <f aca="false">README!$C$4</f>
        <v>45949</v>
      </c>
      <c r="C10" s="7" t="s">
        <v>51</v>
      </c>
      <c r="D10" s="7" t="s">
        <v>51</v>
      </c>
      <c r="E10" s="9" t="n">
        <v>500</v>
      </c>
      <c r="F10" s="9" t="n">
        <v>500</v>
      </c>
      <c r="G10" s="9"/>
      <c r="H10" s="7" t="s">
        <v>32</v>
      </c>
      <c r="I10" s="7"/>
    </row>
    <row r="11" customFormat="false" ht="15" hidden="false" customHeight="false" outlineLevel="0" collapsed="false">
      <c r="A11" s="7" t="n">
        <v>10</v>
      </c>
      <c r="B11" s="8" t="n">
        <f aca="false">README!$C$4</f>
        <v>45949</v>
      </c>
      <c r="C11" s="7" t="s">
        <v>52</v>
      </c>
      <c r="D11" s="7" t="s">
        <v>52</v>
      </c>
      <c r="E11" s="9"/>
      <c r="F11" s="9" t="n">
        <v>1935</v>
      </c>
      <c r="G11" s="9"/>
      <c r="H11" s="7" t="s">
        <v>32</v>
      </c>
      <c r="I11" s="7"/>
    </row>
    <row r="12" customFormat="false" ht="15" hidden="false" customHeight="false" outlineLevel="0" collapsed="false">
      <c r="A12" s="7" t="n">
        <v>11</v>
      </c>
      <c r="B12" s="8" t="n">
        <f aca="false">README!$C$4</f>
        <v>45949</v>
      </c>
      <c r="C12" s="7" t="s">
        <v>53</v>
      </c>
      <c r="D12" s="7" t="s">
        <v>53</v>
      </c>
      <c r="E12" s="9" t="n">
        <v>2100</v>
      </c>
      <c r="F12" s="9" t="n">
        <v>2100</v>
      </c>
      <c r="G12" s="9" t="n">
        <v>5200</v>
      </c>
      <c r="H12" s="7" t="s">
        <v>32</v>
      </c>
      <c r="I12" s="7"/>
    </row>
    <row r="13" customFormat="false" ht="15" hidden="false" customHeight="false" outlineLevel="0" collapsed="false">
      <c r="A13" s="10" t="n">
        <v>12</v>
      </c>
      <c r="B13" s="11" t="n">
        <f aca="false">README!$C$4</f>
        <v>45949</v>
      </c>
      <c r="C13" s="10" t="s">
        <v>54</v>
      </c>
      <c r="D13" s="10" t="s">
        <v>55</v>
      </c>
      <c r="E13" s="12"/>
      <c r="F13" s="12" t="n">
        <v>2000</v>
      </c>
      <c r="G13" s="12"/>
      <c r="H13" s="10" t="s">
        <v>39</v>
      </c>
      <c r="I13" s="10" t="s">
        <v>56</v>
      </c>
    </row>
    <row r="14" customFormat="false" ht="15" hidden="false" customHeight="false" outlineLevel="0" collapsed="false">
      <c r="A14" s="10" t="n">
        <v>13</v>
      </c>
      <c r="B14" s="11" t="n">
        <f aca="false">README!$C$4</f>
        <v>45949</v>
      </c>
      <c r="C14" s="10" t="s">
        <v>57</v>
      </c>
      <c r="D14" s="10" t="s">
        <v>58</v>
      </c>
      <c r="E14" s="12" t="n">
        <v>5830</v>
      </c>
      <c r="F14" s="12" t="n">
        <v>6200</v>
      </c>
      <c r="G14" s="12" t="n">
        <v>4010</v>
      </c>
      <c r="H14" s="10" t="s">
        <v>39</v>
      </c>
      <c r="I14" s="10" t="s">
        <v>59</v>
      </c>
    </row>
    <row r="15" customFormat="false" ht="15" hidden="false" customHeight="false" outlineLevel="0" collapsed="false">
      <c r="A15" s="7" t="n">
        <v>14</v>
      </c>
      <c r="B15" s="8" t="n">
        <f aca="false">README!$C$4</f>
        <v>45949</v>
      </c>
      <c r="C15" s="7" t="s">
        <v>60</v>
      </c>
      <c r="D15" s="7" t="s">
        <v>60</v>
      </c>
      <c r="E15" s="9" t="n">
        <v>2412</v>
      </c>
      <c r="F15" s="9" t="n">
        <v>2412</v>
      </c>
      <c r="G15" s="9"/>
      <c r="H15" s="7" t="s">
        <v>32</v>
      </c>
      <c r="I15" s="7" t="s">
        <v>61</v>
      </c>
    </row>
    <row r="16" customFormat="false" ht="15" hidden="false" customHeight="false" outlineLevel="0" collapsed="false">
      <c r="A16" s="7" t="n">
        <v>15</v>
      </c>
      <c r="B16" s="8" t="n">
        <f aca="false">README!$C$4</f>
        <v>45949</v>
      </c>
      <c r="C16" s="7" t="s">
        <v>62</v>
      </c>
      <c r="D16" s="7" t="s">
        <v>62</v>
      </c>
      <c r="E16" s="9"/>
      <c r="F16" s="9" t="n">
        <v>357</v>
      </c>
      <c r="G16" s="9"/>
      <c r="H16" s="7" t="s">
        <v>32</v>
      </c>
      <c r="I16" s="7"/>
    </row>
    <row r="17" customFormat="false" ht="15" hidden="false" customHeight="false" outlineLevel="0" collapsed="false">
      <c r="A17" s="10" t="n">
        <v>16</v>
      </c>
      <c r="B17" s="11" t="n">
        <f aca="false">README!$C$4</f>
        <v>45949</v>
      </c>
      <c r="C17" s="10" t="s">
        <v>63</v>
      </c>
      <c r="D17" s="10" t="s">
        <v>63</v>
      </c>
      <c r="E17" s="12"/>
      <c r="F17" s="12" t="n">
        <v>150</v>
      </c>
      <c r="G17" s="12" t="n">
        <v>100</v>
      </c>
      <c r="H17" s="10" t="s">
        <v>39</v>
      </c>
      <c r="I17" s="10" t="s">
        <v>64</v>
      </c>
    </row>
    <row r="18" customFormat="false" ht="15" hidden="false" customHeight="false" outlineLevel="0" collapsed="false">
      <c r="A18" s="7" t="n">
        <v>17</v>
      </c>
      <c r="B18" s="8" t="n">
        <f aca="false">README!$C$4</f>
        <v>45949</v>
      </c>
      <c r="C18" s="7" t="s">
        <v>65</v>
      </c>
      <c r="D18" s="7" t="s">
        <v>65</v>
      </c>
      <c r="E18" s="9" t="n">
        <v>400</v>
      </c>
      <c r="F18" s="9" t="n">
        <v>500</v>
      </c>
      <c r="G18" s="9"/>
      <c r="H18" s="7" t="s">
        <v>32</v>
      </c>
      <c r="I18" s="7"/>
    </row>
    <row r="19" customFormat="false" ht="15" hidden="false" customHeight="false" outlineLevel="0" collapsed="false">
      <c r="A19" s="10" t="n">
        <v>18</v>
      </c>
      <c r="B19" s="11" t="n">
        <f aca="false">README!$C$4</f>
        <v>45949</v>
      </c>
      <c r="C19" s="10" t="s">
        <v>66</v>
      </c>
      <c r="D19" s="10" t="s">
        <v>67</v>
      </c>
      <c r="E19" s="12" t="n">
        <v>400</v>
      </c>
      <c r="F19" s="12" t="n">
        <v>400</v>
      </c>
      <c r="G19" s="12"/>
      <c r="H19" s="10" t="s">
        <v>39</v>
      </c>
      <c r="I19" s="10"/>
    </row>
    <row r="20" customFormat="false" ht="15" hidden="false" customHeight="false" outlineLevel="0" collapsed="false">
      <c r="A20" s="10" t="n">
        <v>19</v>
      </c>
      <c r="B20" s="11" t="n">
        <f aca="false">README!$C$4</f>
        <v>45949</v>
      </c>
      <c r="C20" s="10" t="s">
        <v>68</v>
      </c>
      <c r="D20" s="10" t="s">
        <v>69</v>
      </c>
      <c r="E20" s="12" t="n">
        <v>100</v>
      </c>
      <c r="F20" s="12" t="n">
        <v>100</v>
      </c>
      <c r="G20" s="12"/>
      <c r="H20" s="10" t="s">
        <v>39</v>
      </c>
      <c r="I20" s="10" t="s">
        <v>56</v>
      </c>
    </row>
    <row r="21" customFormat="false" ht="15" hidden="false" customHeight="false" outlineLevel="0" collapsed="false">
      <c r="A21" s="7" t="n">
        <v>20</v>
      </c>
      <c r="B21" s="8" t="n">
        <f aca="false">README!$C$4</f>
        <v>45949</v>
      </c>
      <c r="C21" s="7" t="s">
        <v>70</v>
      </c>
      <c r="D21" s="7" t="s">
        <v>71</v>
      </c>
      <c r="E21" s="9"/>
      <c r="F21" s="9" t="n">
        <v>2707</v>
      </c>
      <c r="G21" s="9"/>
      <c r="H21" s="7" t="s">
        <v>32</v>
      </c>
      <c r="I21" s="7"/>
    </row>
    <row r="22" customFormat="false" ht="15" hidden="false" customHeight="false" outlineLevel="0" collapsed="false">
      <c r="A22" s="7" t="n">
        <v>21</v>
      </c>
      <c r="B22" s="8" t="n">
        <f aca="false">README!$C$4</f>
        <v>45949</v>
      </c>
      <c r="C22" s="7" t="s">
        <v>72</v>
      </c>
      <c r="D22" s="7" t="s">
        <v>73</v>
      </c>
      <c r="E22" s="9" t="n">
        <v>1050</v>
      </c>
      <c r="F22" s="9" t="n">
        <v>1050</v>
      </c>
      <c r="G22" s="9"/>
      <c r="H22" s="7" t="s">
        <v>32</v>
      </c>
      <c r="I22" s="7"/>
    </row>
    <row r="23" customFormat="false" ht="15" hidden="false" customHeight="false" outlineLevel="0" collapsed="false">
      <c r="A23" s="7" t="n">
        <v>22</v>
      </c>
      <c r="B23" s="8" t="n">
        <f aca="false">README!$C$4</f>
        <v>45949</v>
      </c>
      <c r="C23" s="7" t="s">
        <v>74</v>
      </c>
      <c r="D23" s="7" t="s">
        <v>74</v>
      </c>
      <c r="E23" s="9" t="n">
        <v>40</v>
      </c>
      <c r="F23" s="9" t="n">
        <v>40</v>
      </c>
      <c r="G23" s="9"/>
      <c r="H23" s="7" t="s">
        <v>32</v>
      </c>
      <c r="I23" s="7"/>
    </row>
    <row r="24" customFormat="false" ht="15" hidden="false" customHeight="false" outlineLevel="0" collapsed="false">
      <c r="A24" s="7" t="n">
        <v>23</v>
      </c>
      <c r="B24" s="8" t="n">
        <f aca="false">README!$C$4</f>
        <v>45949</v>
      </c>
      <c r="C24" s="7" t="s">
        <v>75</v>
      </c>
      <c r="D24" s="7" t="s">
        <v>75</v>
      </c>
      <c r="E24" s="9" t="n">
        <v>400</v>
      </c>
      <c r="F24" s="9" t="n">
        <v>400</v>
      </c>
      <c r="G24" s="9"/>
      <c r="H24" s="7" t="s">
        <v>32</v>
      </c>
      <c r="I24" s="7"/>
    </row>
    <row r="25" customFormat="false" ht="15" hidden="false" customHeight="false" outlineLevel="0" collapsed="false">
      <c r="A25" s="10" t="n">
        <v>24</v>
      </c>
      <c r="B25" s="11" t="n">
        <f aca="false">README!$C$4</f>
        <v>45949</v>
      </c>
      <c r="C25" s="10" t="s">
        <v>76</v>
      </c>
      <c r="D25" s="10" t="s">
        <v>77</v>
      </c>
      <c r="E25" s="12" t="n">
        <v>1800</v>
      </c>
      <c r="F25" s="12" t="n">
        <v>2000</v>
      </c>
      <c r="G25" s="12" t="n">
        <v>2200</v>
      </c>
      <c r="H25" s="10" t="s">
        <v>39</v>
      </c>
      <c r="I25" s="10" t="s">
        <v>56</v>
      </c>
    </row>
    <row r="26" customFormat="false" ht="15" hidden="false" customHeight="false" outlineLevel="0" collapsed="false">
      <c r="A26" s="10" t="n">
        <v>25</v>
      </c>
      <c r="B26" s="11" t="n">
        <f aca="false">README!$C$4</f>
        <v>45949</v>
      </c>
      <c r="C26" s="10" t="s">
        <v>78</v>
      </c>
      <c r="D26" s="10" t="s">
        <v>79</v>
      </c>
      <c r="E26" s="12" t="n">
        <v>240</v>
      </c>
      <c r="F26" s="12" t="n">
        <v>240</v>
      </c>
      <c r="G26" s="12"/>
      <c r="H26" s="10" t="s">
        <v>39</v>
      </c>
      <c r="I26" s="10" t="s">
        <v>56</v>
      </c>
    </row>
    <row r="27" customFormat="false" ht="15" hidden="false" customHeight="false" outlineLevel="0" collapsed="false">
      <c r="D27" s="2" t="s">
        <v>80</v>
      </c>
      <c r="E27" s="13" t="n">
        <f aca="false">SUM(E3:E26)</f>
        <v>24162</v>
      </c>
      <c r="F27" s="13" t="n">
        <f aca="false">SUM(F3:F26)</f>
        <v>32371</v>
      </c>
      <c r="G27" s="13" t="n">
        <f aca="false">SUM(G3:G26)</f>
        <v>75005</v>
      </c>
    </row>
    <row r="28" customFormat="false" ht="15" hidden="false" customHeight="false" outlineLevel="0" collapsed="false">
      <c r="D28" s="14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7" min="6" style="0" width="13"/>
    <col collapsed="false" customWidth="true" hidden="false" outlineLevel="0" max="8" min="8" style="0" width="16"/>
    <col collapsed="false" customWidth="true" hidden="false" outlineLevel="0" max="9" min="9" style="0" width="38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2"/>
  </cols>
  <sheetData>
    <row r="1" customFormat="false" ht="23.85" hidden="false" customHeight="false" outlineLevel="0" collapsed="false">
      <c r="A1" s="6" t="s">
        <v>82</v>
      </c>
      <c r="B1" s="6" t="s">
        <v>22</v>
      </c>
      <c r="C1" s="6" t="s">
        <v>4</v>
      </c>
      <c r="D1" s="6" t="s">
        <v>83</v>
      </c>
      <c r="E1" s="6" t="s">
        <v>84</v>
      </c>
      <c r="F1" s="6" t="s">
        <v>85</v>
      </c>
      <c r="G1" s="6" t="s">
        <v>86</v>
      </c>
      <c r="H1" s="6" t="s">
        <v>87</v>
      </c>
      <c r="I1" s="6" t="s">
        <v>88</v>
      </c>
      <c r="J1" s="6" t="s">
        <v>89</v>
      </c>
      <c r="K1" s="6" t="s">
        <v>90</v>
      </c>
      <c r="L1" s="6" t="s">
        <v>91</v>
      </c>
    </row>
    <row r="2" customFormat="false" ht="15" hidden="false" customHeight="false" outlineLevel="0" collapsed="false">
      <c r="A2" s="7" t="s">
        <v>92</v>
      </c>
      <c r="B2" s="8" t="n">
        <f aca="false">README!$C$4</f>
        <v>45949</v>
      </c>
      <c r="C2" s="7" t="str">
        <f aca="false">README!$C$5</f>
        <v>BR001</v>
      </c>
      <c r="D2" s="7" t="s">
        <v>93</v>
      </c>
      <c r="E2" s="7" t="s">
        <v>94</v>
      </c>
      <c r="F2" s="15" t="n">
        <f aca="false">Ledger_Raw!F3</f>
        <v>2100</v>
      </c>
      <c r="G2" s="16" t="s">
        <v>95</v>
      </c>
      <c r="H2" s="7"/>
      <c r="I2" s="7" t="s">
        <v>96</v>
      </c>
      <c r="J2" s="7"/>
      <c r="K2" s="7" t="s">
        <v>97</v>
      </c>
      <c r="L2" s="7" t="n">
        <f aca="false">Ledger_Raw!A3</f>
        <v>2</v>
      </c>
    </row>
    <row r="3" customFormat="false" ht="15" hidden="false" customHeight="false" outlineLevel="0" collapsed="false">
      <c r="A3" s="7" t="s">
        <v>98</v>
      </c>
      <c r="B3" s="8" t="n">
        <f aca="false">README!$C$4</f>
        <v>45949</v>
      </c>
      <c r="C3" s="7" t="str">
        <f aca="false">README!$C$5</f>
        <v>BR001</v>
      </c>
      <c r="D3" s="7" t="s">
        <v>93</v>
      </c>
      <c r="E3" s="7" t="s">
        <v>99</v>
      </c>
      <c r="F3" s="15" t="n">
        <f aca="false">Ledger_Raw!F4</f>
        <v>1450</v>
      </c>
      <c r="G3" s="16" t="s">
        <v>95</v>
      </c>
      <c r="H3" s="7"/>
      <c r="I3" s="7" t="s">
        <v>100</v>
      </c>
      <c r="J3" s="7"/>
      <c r="K3" s="7" t="s">
        <v>97</v>
      </c>
      <c r="L3" s="7" t="n">
        <f aca="false">Ledger_Raw!A4</f>
        <v>3</v>
      </c>
    </row>
    <row r="4" customFormat="false" ht="15" hidden="false" customHeight="false" outlineLevel="0" collapsed="false">
      <c r="A4" s="7" t="s">
        <v>101</v>
      </c>
      <c r="B4" s="8" t="n">
        <f aca="false">README!$C$4</f>
        <v>45949</v>
      </c>
      <c r="C4" s="7" t="str">
        <f aca="false">README!$C$5</f>
        <v>BR001</v>
      </c>
      <c r="D4" s="7" t="s">
        <v>93</v>
      </c>
      <c r="E4" s="7" t="s">
        <v>102</v>
      </c>
      <c r="F4" s="15" t="n">
        <f aca="false">Ledger_Raw!F5</f>
        <v>860</v>
      </c>
      <c r="G4" s="16" t="s">
        <v>95</v>
      </c>
      <c r="H4" s="7"/>
      <c r="I4" s="7" t="s">
        <v>103</v>
      </c>
      <c r="J4" s="7"/>
      <c r="K4" s="7" t="s">
        <v>97</v>
      </c>
      <c r="L4" s="7" t="n">
        <f aca="false">Ledger_Raw!A5</f>
        <v>4</v>
      </c>
    </row>
    <row r="5" customFormat="false" ht="15" hidden="false" customHeight="false" outlineLevel="0" collapsed="false">
      <c r="A5" s="7" t="s">
        <v>104</v>
      </c>
      <c r="B5" s="8" t="n">
        <f aca="false">README!$C$4</f>
        <v>45949</v>
      </c>
      <c r="C5" s="7" t="str">
        <f aca="false">README!$C$5</f>
        <v>BR001</v>
      </c>
      <c r="D5" s="7" t="s">
        <v>93</v>
      </c>
      <c r="E5" s="7" t="s">
        <v>105</v>
      </c>
      <c r="F5" s="15" t="n">
        <f aca="false">Ledger_Raw!F6</f>
        <v>4100</v>
      </c>
      <c r="G5" s="16" t="s">
        <v>95</v>
      </c>
      <c r="H5" s="7"/>
      <c r="I5" s="7" t="s">
        <v>106</v>
      </c>
      <c r="J5" s="7"/>
      <c r="K5" s="7" t="s">
        <v>97</v>
      </c>
      <c r="L5" s="7" t="n">
        <f aca="false">Ledger_Raw!A6</f>
        <v>5</v>
      </c>
    </row>
    <row r="6" customFormat="false" ht="15" hidden="false" customHeight="false" outlineLevel="0" collapsed="false">
      <c r="A6" s="7" t="s">
        <v>107</v>
      </c>
      <c r="B6" s="8" t="n">
        <f aca="false">README!$C$4</f>
        <v>45949</v>
      </c>
      <c r="C6" s="7" t="str">
        <f aca="false">README!$C$5</f>
        <v>BR001</v>
      </c>
      <c r="D6" s="7" t="s">
        <v>108</v>
      </c>
      <c r="E6" s="7" t="s">
        <v>49</v>
      </c>
      <c r="F6" s="15" t="n">
        <f aca="false">Ledger_Raw!F8</f>
        <v>650</v>
      </c>
      <c r="G6" s="16" t="s">
        <v>95</v>
      </c>
      <c r="H6" s="7"/>
      <c r="I6" s="7" t="s">
        <v>109</v>
      </c>
      <c r="J6" s="7"/>
      <c r="K6" s="7" t="s">
        <v>97</v>
      </c>
      <c r="L6" s="7" t="n">
        <f aca="false">Ledger_Raw!A8</f>
        <v>7</v>
      </c>
    </row>
    <row r="7" customFormat="false" ht="15" hidden="false" customHeight="false" outlineLevel="0" collapsed="false">
      <c r="A7" s="7" t="s">
        <v>110</v>
      </c>
      <c r="B7" s="8" t="n">
        <f aca="false">README!$C$4</f>
        <v>45949</v>
      </c>
      <c r="C7" s="7" t="str">
        <f aca="false">README!$C$5</f>
        <v>BR001</v>
      </c>
      <c r="D7" s="7" t="s">
        <v>111</v>
      </c>
      <c r="E7" s="7" t="s">
        <v>50</v>
      </c>
      <c r="F7" s="15" t="n">
        <f aca="false">Ledger_Raw!F9</f>
        <v>120</v>
      </c>
      <c r="G7" s="16" t="s">
        <v>95</v>
      </c>
      <c r="H7" s="7"/>
      <c r="I7" s="7" t="s">
        <v>112</v>
      </c>
      <c r="J7" s="7"/>
      <c r="K7" s="7" t="s">
        <v>97</v>
      </c>
      <c r="L7" s="7" t="n">
        <f aca="false">Ledger_Raw!A9</f>
        <v>8</v>
      </c>
    </row>
    <row r="8" customFormat="false" ht="15" hidden="false" customHeight="false" outlineLevel="0" collapsed="false">
      <c r="A8" s="7" t="s">
        <v>113</v>
      </c>
      <c r="B8" s="8" t="n">
        <f aca="false">README!$C$4</f>
        <v>45949</v>
      </c>
      <c r="C8" s="7" t="str">
        <f aca="false">README!$C$5</f>
        <v>BR001</v>
      </c>
      <c r="D8" s="7" t="s">
        <v>108</v>
      </c>
      <c r="E8" s="7" t="s">
        <v>51</v>
      </c>
      <c r="F8" s="15" t="n">
        <f aca="false">Ledger_Raw!F10</f>
        <v>500</v>
      </c>
      <c r="G8" s="16" t="s">
        <v>95</v>
      </c>
      <c r="H8" s="7"/>
      <c r="I8" s="7" t="s">
        <v>114</v>
      </c>
      <c r="J8" s="7"/>
      <c r="K8" s="7" t="s">
        <v>97</v>
      </c>
      <c r="L8" s="7" t="n">
        <f aca="false">Ledger_Raw!A10</f>
        <v>9</v>
      </c>
    </row>
    <row r="9" customFormat="false" ht="15" hidden="false" customHeight="false" outlineLevel="0" collapsed="false">
      <c r="A9" s="7" t="s">
        <v>115</v>
      </c>
      <c r="B9" s="8" t="n">
        <f aca="false">README!$C$4</f>
        <v>45949</v>
      </c>
      <c r="C9" s="7" t="str">
        <f aca="false">README!$C$5</f>
        <v>BR001</v>
      </c>
      <c r="D9" s="7" t="s">
        <v>108</v>
      </c>
      <c r="E9" s="7" t="s">
        <v>52</v>
      </c>
      <c r="F9" s="15" t="n">
        <f aca="false">Ledger_Raw!F11</f>
        <v>1935</v>
      </c>
      <c r="G9" s="16" t="s">
        <v>95</v>
      </c>
      <c r="H9" s="7"/>
      <c r="I9" s="7" t="s">
        <v>116</v>
      </c>
      <c r="J9" s="7"/>
      <c r="K9" s="7" t="s">
        <v>97</v>
      </c>
      <c r="L9" s="7" t="n">
        <f aca="false">Ledger_Raw!A11</f>
        <v>10</v>
      </c>
    </row>
    <row r="10" customFormat="false" ht="15" hidden="false" customHeight="false" outlineLevel="0" collapsed="false">
      <c r="A10" s="7" t="s">
        <v>117</v>
      </c>
      <c r="B10" s="8" t="n">
        <f aca="false">README!$C$4</f>
        <v>45949</v>
      </c>
      <c r="C10" s="7" t="str">
        <f aca="false">README!$C$5</f>
        <v>BR001</v>
      </c>
      <c r="D10" s="7" t="s">
        <v>108</v>
      </c>
      <c r="E10" s="7" t="s">
        <v>53</v>
      </c>
      <c r="F10" s="15" t="n">
        <f aca="false">Ledger_Raw!F12</f>
        <v>2100</v>
      </c>
      <c r="G10" s="16" t="s">
        <v>95</v>
      </c>
      <c r="H10" s="7"/>
      <c r="I10" s="7" t="s">
        <v>118</v>
      </c>
      <c r="J10" s="7"/>
      <c r="K10" s="7" t="s">
        <v>97</v>
      </c>
      <c r="L10" s="7" t="n">
        <f aca="false">Ledger_Raw!A12</f>
        <v>11</v>
      </c>
    </row>
    <row r="11" customFormat="false" ht="15" hidden="false" customHeight="false" outlineLevel="0" collapsed="false">
      <c r="A11" s="10" t="s">
        <v>119</v>
      </c>
      <c r="B11" s="11" t="n">
        <f aca="false">README!$C$4</f>
        <v>45949</v>
      </c>
      <c r="C11" s="10" t="str">
        <f aca="false">README!$C$5</f>
        <v>BR001</v>
      </c>
      <c r="D11" s="10" t="s">
        <v>120</v>
      </c>
      <c r="E11" s="10"/>
      <c r="F11" s="17" t="n">
        <f aca="false">Ledger_Raw!F13</f>
        <v>2000</v>
      </c>
      <c r="G11" s="18" t="s">
        <v>95</v>
      </c>
      <c r="H11" s="10"/>
      <c r="I11" s="10" t="s">
        <v>121</v>
      </c>
      <c r="J11" s="10"/>
      <c r="K11" s="10" t="s">
        <v>97</v>
      </c>
      <c r="L11" s="10" t="n">
        <f aca="false">Ledger_Raw!A13</f>
        <v>12</v>
      </c>
    </row>
    <row r="12" customFormat="false" ht="15" hidden="false" customHeight="false" outlineLevel="0" collapsed="false">
      <c r="A12" s="10" t="s">
        <v>122</v>
      </c>
      <c r="B12" s="11" t="n">
        <f aca="false">README!$C$4</f>
        <v>45949</v>
      </c>
      <c r="C12" s="10" t="str">
        <f aca="false">README!$C$5</f>
        <v>BR001</v>
      </c>
      <c r="D12" s="10" t="s">
        <v>120</v>
      </c>
      <c r="E12" s="10"/>
      <c r="F12" s="17" t="n">
        <f aca="false">Ledger_Raw!F14</f>
        <v>6200</v>
      </c>
      <c r="G12" s="18" t="s">
        <v>95</v>
      </c>
      <c r="H12" s="10"/>
      <c r="I12" s="10" t="s">
        <v>123</v>
      </c>
      <c r="J12" s="10"/>
      <c r="K12" s="10" t="s">
        <v>97</v>
      </c>
      <c r="L12" s="10" t="n">
        <f aca="false">Ledger_Raw!A14</f>
        <v>13</v>
      </c>
    </row>
    <row r="13" customFormat="false" ht="15" hidden="false" customHeight="false" outlineLevel="0" collapsed="false">
      <c r="A13" s="7" t="s">
        <v>124</v>
      </c>
      <c r="B13" s="8" t="n">
        <f aca="false">README!$C$4</f>
        <v>45949</v>
      </c>
      <c r="C13" s="7" t="str">
        <f aca="false">README!$C$5</f>
        <v>BR001</v>
      </c>
      <c r="D13" s="7" t="s">
        <v>108</v>
      </c>
      <c r="E13" s="7" t="s">
        <v>60</v>
      </c>
      <c r="F13" s="15" t="n">
        <f aca="false">Ledger_Raw!F15</f>
        <v>2412</v>
      </c>
      <c r="G13" s="16" t="s">
        <v>95</v>
      </c>
      <c r="H13" s="7"/>
      <c r="I13" s="7" t="s">
        <v>125</v>
      </c>
      <c r="J13" s="7"/>
      <c r="K13" s="7" t="s">
        <v>97</v>
      </c>
      <c r="L13" s="7" t="n">
        <f aca="false">Ledger_Raw!A15</f>
        <v>14</v>
      </c>
    </row>
    <row r="14" customFormat="false" ht="15" hidden="false" customHeight="false" outlineLevel="0" collapsed="false">
      <c r="A14" s="7" t="s">
        <v>126</v>
      </c>
      <c r="B14" s="8" t="n">
        <f aca="false">README!$C$4</f>
        <v>45949</v>
      </c>
      <c r="C14" s="7" t="str">
        <f aca="false">README!$C$5</f>
        <v>BR001</v>
      </c>
      <c r="D14" s="7" t="s">
        <v>108</v>
      </c>
      <c r="E14" s="7" t="s">
        <v>62</v>
      </c>
      <c r="F14" s="15" t="n">
        <f aca="false">Ledger_Raw!F16</f>
        <v>357</v>
      </c>
      <c r="G14" s="16" t="s">
        <v>95</v>
      </c>
      <c r="H14" s="7"/>
      <c r="I14" s="7" t="s">
        <v>127</v>
      </c>
      <c r="J14" s="7"/>
      <c r="K14" s="7" t="s">
        <v>97</v>
      </c>
      <c r="L14" s="7" t="n">
        <f aca="false">Ledger_Raw!A16</f>
        <v>15</v>
      </c>
    </row>
    <row r="15" customFormat="false" ht="15" hidden="false" customHeight="false" outlineLevel="0" collapsed="false">
      <c r="A15" s="7" t="s">
        <v>128</v>
      </c>
      <c r="B15" s="8" t="n">
        <f aca="false">README!$C$4</f>
        <v>45949</v>
      </c>
      <c r="C15" s="7" t="str">
        <f aca="false">README!$C$5</f>
        <v>BR001</v>
      </c>
      <c r="D15" s="7" t="s">
        <v>108</v>
      </c>
      <c r="E15" s="7" t="s">
        <v>63</v>
      </c>
      <c r="F15" s="15" t="n">
        <f aca="false">Ledger_Raw!F17</f>
        <v>150</v>
      </c>
      <c r="G15" s="16" t="s">
        <v>95</v>
      </c>
      <c r="H15" s="7"/>
      <c r="I15" s="7" t="s">
        <v>129</v>
      </c>
      <c r="J15" s="7"/>
      <c r="K15" s="7" t="s">
        <v>97</v>
      </c>
      <c r="L15" s="7" t="n">
        <f aca="false">Ledger_Raw!A17</f>
        <v>16</v>
      </c>
    </row>
    <row r="16" customFormat="false" ht="15" hidden="false" customHeight="false" outlineLevel="0" collapsed="false">
      <c r="A16" s="7" t="s">
        <v>130</v>
      </c>
      <c r="B16" s="8" t="n">
        <f aca="false">README!$C$4</f>
        <v>45949</v>
      </c>
      <c r="C16" s="7" t="str">
        <f aca="false">README!$C$5</f>
        <v>BR001</v>
      </c>
      <c r="D16" s="7" t="s">
        <v>108</v>
      </c>
      <c r="E16" s="7" t="s">
        <v>65</v>
      </c>
      <c r="F16" s="15" t="n">
        <f aca="false">Ledger_Raw!F18</f>
        <v>500</v>
      </c>
      <c r="G16" s="16" t="s">
        <v>95</v>
      </c>
      <c r="H16" s="7"/>
      <c r="I16" s="7" t="s">
        <v>131</v>
      </c>
      <c r="J16" s="7"/>
      <c r="K16" s="7" t="s">
        <v>97</v>
      </c>
      <c r="L16" s="7" t="n">
        <f aca="false">Ledger_Raw!A18</f>
        <v>17</v>
      </c>
    </row>
    <row r="17" customFormat="false" ht="15" hidden="false" customHeight="false" outlineLevel="0" collapsed="false">
      <c r="A17" s="7" t="s">
        <v>132</v>
      </c>
      <c r="B17" s="8" t="n">
        <f aca="false">README!$C$4</f>
        <v>45949</v>
      </c>
      <c r="C17" s="7" t="str">
        <f aca="false">README!$C$5</f>
        <v>BR001</v>
      </c>
      <c r="D17" s="7" t="s">
        <v>108</v>
      </c>
      <c r="E17" s="7" t="s">
        <v>133</v>
      </c>
      <c r="F17" s="15" t="n">
        <f aca="false">Ledger_Raw!F19</f>
        <v>400</v>
      </c>
      <c r="G17" s="16" t="s">
        <v>95</v>
      </c>
      <c r="H17" s="7"/>
      <c r="I17" s="7" t="s">
        <v>134</v>
      </c>
      <c r="J17" s="7"/>
      <c r="K17" s="7" t="s">
        <v>97</v>
      </c>
      <c r="L17" s="7" t="n">
        <f aca="false">Ledger_Raw!A19</f>
        <v>18</v>
      </c>
    </row>
    <row r="18" customFormat="false" ht="15" hidden="false" customHeight="false" outlineLevel="0" collapsed="false">
      <c r="A18" s="10" t="s">
        <v>135</v>
      </c>
      <c r="B18" s="11" t="n">
        <f aca="false">README!$C$4</f>
        <v>45949</v>
      </c>
      <c r="C18" s="10" t="str">
        <f aca="false">README!$C$5</f>
        <v>BR001</v>
      </c>
      <c r="D18" s="10" t="s">
        <v>120</v>
      </c>
      <c r="E18" s="10"/>
      <c r="F18" s="17" t="n">
        <f aca="false">Ledger_Raw!F20</f>
        <v>100</v>
      </c>
      <c r="G18" s="18" t="s">
        <v>95</v>
      </c>
      <c r="H18" s="10"/>
      <c r="I18" s="10" t="s">
        <v>136</v>
      </c>
      <c r="J18" s="10"/>
      <c r="K18" s="10" t="s">
        <v>97</v>
      </c>
      <c r="L18" s="10" t="n">
        <f aca="false">Ledger_Raw!A20</f>
        <v>19</v>
      </c>
    </row>
    <row r="19" customFormat="false" ht="15" hidden="false" customHeight="false" outlineLevel="0" collapsed="false">
      <c r="A19" s="7" t="s">
        <v>137</v>
      </c>
      <c r="B19" s="8" t="n">
        <f aca="false">README!$C$4</f>
        <v>45949</v>
      </c>
      <c r="C19" s="7" t="str">
        <f aca="false">README!$C$5</f>
        <v>BR001</v>
      </c>
      <c r="D19" s="7" t="s">
        <v>111</v>
      </c>
      <c r="E19" s="7" t="s">
        <v>138</v>
      </c>
      <c r="F19" s="15" t="n">
        <f aca="false">Ledger_Raw!F21</f>
        <v>2707</v>
      </c>
      <c r="G19" s="16" t="s">
        <v>95</v>
      </c>
      <c r="H19" s="7"/>
      <c r="I19" s="7" t="s">
        <v>139</v>
      </c>
      <c r="J19" s="7"/>
      <c r="K19" s="7" t="s">
        <v>97</v>
      </c>
      <c r="L19" s="7" t="n">
        <f aca="false">Ledger_Raw!A21</f>
        <v>20</v>
      </c>
    </row>
    <row r="20" customFormat="false" ht="15" hidden="false" customHeight="false" outlineLevel="0" collapsed="false">
      <c r="A20" s="7" t="s">
        <v>140</v>
      </c>
      <c r="B20" s="8" t="n">
        <f aca="false">README!$C$4</f>
        <v>45949</v>
      </c>
      <c r="C20" s="7" t="str">
        <f aca="false">README!$C$5</f>
        <v>BR001</v>
      </c>
      <c r="D20" s="7" t="s">
        <v>111</v>
      </c>
      <c r="E20" s="7" t="s">
        <v>141</v>
      </c>
      <c r="F20" s="15" t="n">
        <f aca="false">Ledger_Raw!F22</f>
        <v>1050</v>
      </c>
      <c r="G20" s="16" t="s">
        <v>95</v>
      </c>
      <c r="H20" s="7"/>
      <c r="I20" s="7" t="s">
        <v>142</v>
      </c>
      <c r="J20" s="7"/>
      <c r="K20" s="7" t="s">
        <v>97</v>
      </c>
      <c r="L20" s="7" t="n">
        <f aca="false">Ledger_Raw!A22</f>
        <v>21</v>
      </c>
    </row>
    <row r="21" customFormat="false" ht="15" hidden="false" customHeight="false" outlineLevel="0" collapsed="false">
      <c r="A21" s="7" t="s">
        <v>143</v>
      </c>
      <c r="B21" s="8" t="n">
        <f aca="false">README!$C$4</f>
        <v>45949</v>
      </c>
      <c r="C21" s="7" t="str">
        <f aca="false">README!$C$5</f>
        <v>BR001</v>
      </c>
      <c r="D21" s="7" t="s">
        <v>108</v>
      </c>
      <c r="E21" s="7" t="s">
        <v>74</v>
      </c>
      <c r="F21" s="15" t="n">
        <f aca="false">Ledger_Raw!F23</f>
        <v>40</v>
      </c>
      <c r="G21" s="16" t="s">
        <v>95</v>
      </c>
      <c r="H21" s="7"/>
      <c r="I21" s="7" t="s">
        <v>144</v>
      </c>
      <c r="J21" s="7"/>
      <c r="K21" s="7" t="s">
        <v>97</v>
      </c>
      <c r="L21" s="7" t="n">
        <f aca="false">Ledger_Raw!A23</f>
        <v>22</v>
      </c>
    </row>
    <row r="22" customFormat="false" ht="15" hidden="false" customHeight="false" outlineLevel="0" collapsed="false">
      <c r="A22" s="7" t="s">
        <v>145</v>
      </c>
      <c r="B22" s="8" t="n">
        <f aca="false">README!$C$4</f>
        <v>45949</v>
      </c>
      <c r="C22" s="7" t="str">
        <f aca="false">README!$C$5</f>
        <v>BR001</v>
      </c>
      <c r="D22" s="7" t="s">
        <v>108</v>
      </c>
      <c r="E22" s="7" t="s">
        <v>75</v>
      </c>
      <c r="F22" s="15" t="n">
        <f aca="false">Ledger_Raw!F24</f>
        <v>400</v>
      </c>
      <c r="G22" s="16" t="s">
        <v>95</v>
      </c>
      <c r="H22" s="7"/>
      <c r="I22" s="7" t="s">
        <v>146</v>
      </c>
      <c r="J22" s="7"/>
      <c r="K22" s="7" t="s">
        <v>97</v>
      </c>
      <c r="L22" s="7" t="n">
        <f aca="false">Ledger_Raw!A24</f>
        <v>23</v>
      </c>
    </row>
    <row r="23" customFormat="false" ht="15" hidden="false" customHeight="false" outlineLevel="0" collapsed="false">
      <c r="A23" s="10" t="s">
        <v>147</v>
      </c>
      <c r="B23" s="11" t="n">
        <f aca="false">README!$C$4</f>
        <v>45949</v>
      </c>
      <c r="C23" s="10" t="str">
        <f aca="false">README!$C$5</f>
        <v>BR001</v>
      </c>
      <c r="D23" s="10" t="s">
        <v>120</v>
      </c>
      <c r="E23" s="10"/>
      <c r="F23" s="17" t="n">
        <f aca="false">Ledger_Raw!F25</f>
        <v>2000</v>
      </c>
      <c r="G23" s="18" t="s">
        <v>95</v>
      </c>
      <c r="H23" s="10"/>
      <c r="I23" s="10" t="s">
        <v>148</v>
      </c>
      <c r="J23" s="10"/>
      <c r="K23" s="10" t="s">
        <v>97</v>
      </c>
      <c r="L23" s="10" t="n">
        <f aca="false">Ledger_Raw!A25</f>
        <v>24</v>
      </c>
    </row>
    <row r="24" customFormat="false" ht="15" hidden="false" customHeight="false" outlineLevel="0" collapsed="false">
      <c r="A24" s="10" t="s">
        <v>149</v>
      </c>
      <c r="B24" s="11" t="n">
        <f aca="false">README!$C$4</f>
        <v>45949</v>
      </c>
      <c r="C24" s="10" t="str">
        <f aca="false">README!$C$5</f>
        <v>BR001</v>
      </c>
      <c r="D24" s="10" t="s">
        <v>120</v>
      </c>
      <c r="E24" s="10"/>
      <c r="F24" s="17" t="n">
        <f aca="false">Ledger_Raw!F26</f>
        <v>240</v>
      </c>
      <c r="G24" s="18" t="s">
        <v>95</v>
      </c>
      <c r="H24" s="10"/>
      <c r="I24" s="10" t="s">
        <v>150</v>
      </c>
      <c r="J24" s="10"/>
      <c r="K24" s="10" t="s">
        <v>97</v>
      </c>
      <c r="L24" s="10" t="n">
        <f aca="false">Ledger_Raw!A26</f>
        <v>25</v>
      </c>
    </row>
    <row r="25" customFormat="false" ht="15" hidden="false" customHeight="false" outlineLevel="0" collapsed="false">
      <c r="E25" s="2" t="s">
        <v>151</v>
      </c>
      <c r="F25" s="13" t="n">
        <f aca="false">SUM(F2:F24)</f>
        <v>32371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28"/>
    <col collapsed="false" customWidth="true" hidden="false" outlineLevel="0" max="7" min="7" style="0" width="10"/>
    <col collapsed="false" customWidth="true" hidden="false" outlineLevel="0" max="8" min="8" style="0" width="44"/>
  </cols>
  <sheetData>
    <row r="1" customFormat="false" ht="15" hidden="false" customHeight="false" outlineLevel="0" collapsed="false">
      <c r="A1" s="6" t="s">
        <v>152</v>
      </c>
      <c r="B1" s="6" t="s">
        <v>22</v>
      </c>
      <c r="C1" s="6" t="s">
        <v>4</v>
      </c>
      <c r="D1" s="6" t="s">
        <v>153</v>
      </c>
      <c r="E1" s="6" t="s">
        <v>85</v>
      </c>
      <c r="F1" s="6" t="s">
        <v>154</v>
      </c>
      <c r="G1" s="6" t="s">
        <v>155</v>
      </c>
      <c r="H1" s="6" t="s">
        <v>29</v>
      </c>
    </row>
    <row r="2" customFormat="false" ht="15" hidden="false" customHeight="false" outlineLevel="0" collapsed="false">
      <c r="A2" s="7" t="s">
        <v>156</v>
      </c>
      <c r="B2" s="8" t="n">
        <f aca="false">README!$C$4</f>
        <v>45949</v>
      </c>
      <c r="C2" s="7" t="str">
        <f aca="false">README!$C$5</f>
        <v>BR001</v>
      </c>
      <c r="D2" s="7" t="s">
        <v>157</v>
      </c>
      <c r="E2" s="9" t="n">
        <f aca="false">1000+300</f>
        <v>1300</v>
      </c>
      <c r="F2" s="7" t="s">
        <v>158</v>
      </c>
      <c r="G2" s="7" t="s">
        <v>97</v>
      </c>
      <c r="H2" s="7" t="s">
        <v>159</v>
      </c>
    </row>
    <row r="3" customFormat="false" ht="15" hidden="false" customHeight="false" outlineLevel="0" collapsed="false">
      <c r="A3" s="7" t="s">
        <v>160</v>
      </c>
      <c r="B3" s="8" t="n">
        <f aca="false">README!$C$4</f>
        <v>45949</v>
      </c>
      <c r="C3" s="7" t="str">
        <f aca="false">README!$C$5</f>
        <v>BR001</v>
      </c>
      <c r="D3" s="7" t="s">
        <v>161</v>
      </c>
      <c r="E3" s="9" t="n">
        <v>750</v>
      </c>
      <c r="F3" s="7" t="s">
        <v>158</v>
      </c>
      <c r="G3" s="7" t="s">
        <v>97</v>
      </c>
      <c r="H3" s="7"/>
    </row>
    <row r="4" customFormat="false" ht="15" hidden="false" customHeight="false" outlineLevel="0" collapsed="false">
      <c r="A4" s="7" t="s">
        <v>162</v>
      </c>
      <c r="B4" s="8" t="n">
        <f aca="false">README!$C$4</f>
        <v>45949</v>
      </c>
      <c r="C4" s="7" t="str">
        <f aca="false">README!$C$5</f>
        <v>BR001</v>
      </c>
      <c r="D4" s="7" t="s">
        <v>163</v>
      </c>
      <c r="E4" s="9" t="n">
        <v>500</v>
      </c>
      <c r="F4" s="7" t="s">
        <v>158</v>
      </c>
      <c r="G4" s="7" t="s">
        <v>97</v>
      </c>
      <c r="H4" s="7" t="s">
        <v>164</v>
      </c>
    </row>
    <row r="5" customFormat="false" ht="15" hidden="false" customHeight="false" outlineLevel="0" collapsed="false">
      <c r="A5" s="7" t="s">
        <v>165</v>
      </c>
      <c r="B5" s="8" t="n">
        <f aca="false">README!$C$4</f>
        <v>45949</v>
      </c>
      <c r="C5" s="7" t="str">
        <f aca="false">README!$C$5</f>
        <v>BR001</v>
      </c>
      <c r="D5" s="7" t="s">
        <v>166</v>
      </c>
      <c r="E5" s="9" t="n">
        <v>1000</v>
      </c>
      <c r="F5" s="7" t="s">
        <v>158</v>
      </c>
      <c r="G5" s="7" t="s">
        <v>97</v>
      </c>
      <c r="H5" s="7"/>
    </row>
    <row r="6" customFormat="false" ht="15" hidden="false" customHeight="false" outlineLevel="0" collapsed="false">
      <c r="A6" s="7" t="s">
        <v>167</v>
      </c>
      <c r="B6" s="8" t="n">
        <f aca="false">README!$C$4</f>
        <v>45949</v>
      </c>
      <c r="C6" s="7" t="str">
        <f aca="false">README!$C$5</f>
        <v>BR001</v>
      </c>
      <c r="D6" s="7" t="s">
        <v>168</v>
      </c>
      <c r="E6" s="9" t="n">
        <v>650</v>
      </c>
      <c r="F6" s="7" t="s">
        <v>158</v>
      </c>
      <c r="G6" s="7" t="s">
        <v>97</v>
      </c>
      <c r="H6" s="7"/>
    </row>
    <row r="7" customFormat="false" ht="15" hidden="false" customHeight="false" outlineLevel="0" collapsed="false">
      <c r="A7" s="7" t="s">
        <v>169</v>
      </c>
      <c r="B7" s="8" t="n">
        <f aca="false">README!$C$4</f>
        <v>45949</v>
      </c>
      <c r="C7" s="7" t="str">
        <f aca="false">README!$C$5</f>
        <v>BR001</v>
      </c>
      <c r="D7" s="7" t="s">
        <v>170</v>
      </c>
      <c r="E7" s="9" t="n">
        <v>600</v>
      </c>
      <c r="F7" s="7" t="s">
        <v>158</v>
      </c>
      <c r="G7" s="7" t="s">
        <v>97</v>
      </c>
      <c r="H7" s="7"/>
    </row>
    <row r="8" customFormat="false" ht="15" hidden="false" customHeight="false" outlineLevel="0" collapsed="false">
      <c r="A8" s="7" t="s">
        <v>171</v>
      </c>
      <c r="B8" s="8" t="n">
        <f aca="false">README!$C$4</f>
        <v>45949</v>
      </c>
      <c r="C8" s="7" t="str">
        <f aca="false">README!$C$5</f>
        <v>BR001</v>
      </c>
      <c r="D8" s="7" t="s">
        <v>172</v>
      </c>
      <c r="E8" s="9"/>
      <c r="F8" s="7" t="s">
        <v>158</v>
      </c>
      <c r="G8" s="7" t="s">
        <v>97</v>
      </c>
      <c r="H8" s="7" t="s">
        <v>48</v>
      </c>
    </row>
    <row r="9" customFormat="false" ht="15" hidden="false" customHeight="false" outlineLevel="0" collapsed="false">
      <c r="A9" s="7" t="s">
        <v>173</v>
      </c>
      <c r="B9" s="8" t="n">
        <f aca="false">README!$C$4</f>
        <v>45949</v>
      </c>
      <c r="C9" s="7" t="str">
        <f aca="false">README!$C$5</f>
        <v>BR001</v>
      </c>
      <c r="D9" s="7" t="s">
        <v>174</v>
      </c>
      <c r="E9" s="9" t="n">
        <v>1400</v>
      </c>
      <c r="F9" s="7" t="s">
        <v>158</v>
      </c>
      <c r="G9" s="7" t="s">
        <v>97</v>
      </c>
      <c r="H9" s="7"/>
    </row>
    <row r="10" customFormat="false" ht="15" hidden="false" customHeight="false" outlineLevel="0" collapsed="false">
      <c r="A10" s="7" t="s">
        <v>175</v>
      </c>
      <c r="B10" s="8" t="n">
        <f aca="false">README!$C$4</f>
        <v>45949</v>
      </c>
      <c r="C10" s="7" t="str">
        <f aca="false">README!$C$5</f>
        <v>BR001</v>
      </c>
      <c r="D10" s="7" t="s">
        <v>176</v>
      </c>
      <c r="E10" s="9" t="n">
        <v>600</v>
      </c>
      <c r="F10" s="7" t="s">
        <v>158</v>
      </c>
      <c r="G10" s="7" t="s">
        <v>97</v>
      </c>
      <c r="H10" s="7"/>
    </row>
    <row r="11" customFormat="false" ht="15" hidden="false" customHeight="false" outlineLevel="0" collapsed="false">
      <c r="A11" s="7" t="s">
        <v>177</v>
      </c>
      <c r="B11" s="8" t="n">
        <f aca="false">README!$C$4</f>
        <v>45949</v>
      </c>
      <c r="C11" s="7" t="str">
        <f aca="false">README!$C$5</f>
        <v>BR001</v>
      </c>
      <c r="D11" s="7" t="s">
        <v>178</v>
      </c>
      <c r="E11" s="9" t="n">
        <v>650</v>
      </c>
      <c r="F11" s="7" t="s">
        <v>158</v>
      </c>
      <c r="G11" s="7" t="s">
        <v>97</v>
      </c>
      <c r="H11" s="7"/>
    </row>
    <row r="12" customFormat="false" ht="15" hidden="false" customHeight="false" outlineLevel="0" collapsed="false">
      <c r="A12" s="7" t="s">
        <v>179</v>
      </c>
      <c r="B12" s="8" t="n">
        <f aca="false">README!$C$4</f>
        <v>45949</v>
      </c>
      <c r="C12" s="7" t="str">
        <f aca="false">README!$C$5</f>
        <v>BR001</v>
      </c>
      <c r="D12" s="7" t="s">
        <v>180</v>
      </c>
      <c r="E12" s="9" t="n">
        <v>650</v>
      </c>
      <c r="F12" s="7" t="s">
        <v>158</v>
      </c>
      <c r="G12" s="7" t="s">
        <v>97</v>
      </c>
      <c r="H12" s="7" t="s">
        <v>181</v>
      </c>
    </row>
    <row r="13" customFormat="false" ht="15" hidden="false" customHeight="false" outlineLevel="0" collapsed="false">
      <c r="A13" s="7" t="s">
        <v>182</v>
      </c>
      <c r="B13" s="8" t="n">
        <f aca="false">README!$C$4</f>
        <v>45949</v>
      </c>
      <c r="C13" s="7" t="str">
        <f aca="false">README!$C$5</f>
        <v>BR001</v>
      </c>
      <c r="D13" s="7" t="s">
        <v>183</v>
      </c>
      <c r="E13" s="9" t="n">
        <v>570</v>
      </c>
      <c r="F13" s="7" t="s">
        <v>158</v>
      </c>
      <c r="G13" s="7" t="s">
        <v>97</v>
      </c>
      <c r="H13" s="7" t="s">
        <v>184</v>
      </c>
    </row>
    <row r="14" customFormat="false" ht="15" hidden="false" customHeight="false" outlineLevel="0" collapsed="false">
      <c r="A14" s="7" t="s">
        <v>185</v>
      </c>
      <c r="B14" s="8" t="n">
        <f aca="false">README!$C$4</f>
        <v>45949</v>
      </c>
      <c r="C14" s="7" t="str">
        <f aca="false">README!$C$5</f>
        <v>BR001</v>
      </c>
      <c r="D14" s="7" t="s">
        <v>186</v>
      </c>
      <c r="E14" s="9" t="n">
        <v>200</v>
      </c>
      <c r="F14" s="7" t="s">
        <v>158</v>
      </c>
      <c r="G14" s="7" t="s">
        <v>97</v>
      </c>
      <c r="H14" s="7" t="s">
        <v>187</v>
      </c>
    </row>
    <row r="15" customFormat="false" ht="15" hidden="false" customHeight="false" outlineLevel="0" collapsed="false">
      <c r="A15" s="7" t="s">
        <v>188</v>
      </c>
      <c r="B15" s="8" t="n">
        <f aca="false">README!$C$4</f>
        <v>45949</v>
      </c>
      <c r="C15" s="7" t="str">
        <f aca="false">README!$C$5</f>
        <v>BR001</v>
      </c>
      <c r="D15" s="7" t="s">
        <v>189</v>
      </c>
      <c r="E15" s="9" t="n">
        <v>400</v>
      </c>
      <c r="F15" s="7" t="s">
        <v>158</v>
      </c>
      <c r="G15" s="7" t="s">
        <v>97</v>
      </c>
      <c r="H15" s="7"/>
    </row>
    <row r="16" customFormat="false" ht="15" hidden="false" customHeight="false" outlineLevel="0" collapsed="false">
      <c r="A16" s="7" t="s">
        <v>190</v>
      </c>
      <c r="B16" s="8" t="n">
        <f aca="false">README!$C$4</f>
        <v>45949</v>
      </c>
      <c r="C16" s="7" t="str">
        <f aca="false">README!$C$5</f>
        <v>BR001</v>
      </c>
      <c r="D16" s="7" t="s">
        <v>191</v>
      </c>
      <c r="E16" s="9" t="n">
        <v>500</v>
      </c>
      <c r="F16" s="7" t="s">
        <v>158</v>
      </c>
      <c r="G16" s="7" t="s">
        <v>97</v>
      </c>
      <c r="H16" s="7"/>
    </row>
    <row r="17" customFormat="false" ht="15" hidden="false" customHeight="false" outlineLevel="0" collapsed="false">
      <c r="D17" s="2" t="s">
        <v>151</v>
      </c>
      <c r="E17" s="13" t="n">
        <f aca="false">SUM(E2:E16)</f>
        <v>9770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9" t="s">
        <v>192</v>
      </c>
    </row>
    <row r="3" customFormat="false" ht="15" hidden="false" customHeight="false" outlineLevel="0" collapsed="false">
      <c r="A3" s="7" t="s">
        <v>22</v>
      </c>
      <c r="B3" s="8" t="n">
        <f aca="false">README!$C$4</f>
        <v>45949</v>
      </c>
    </row>
    <row r="4" customFormat="false" ht="15" hidden="false" customHeight="false" outlineLevel="0" collapsed="false">
      <c r="A4" s="7" t="s">
        <v>4</v>
      </c>
      <c r="B4" s="7" t="str">
        <f aca="false">README!$C$5</f>
        <v>BR001</v>
      </c>
    </row>
    <row r="5" customFormat="false" ht="15" hidden="false" customHeight="false" outlineLevel="0" collapsed="false">
      <c r="A5" s="7" t="s">
        <v>193</v>
      </c>
      <c r="B5" s="15" t="n">
        <f aca="false">Ledger_Raw!F2</f>
        <v>2000</v>
      </c>
    </row>
    <row r="6" customFormat="false" ht="15" hidden="false" customHeight="false" outlineLevel="0" collapsed="false">
      <c r="A6" s="7" t="s">
        <v>194</v>
      </c>
      <c r="B6" s="20"/>
    </row>
    <row r="7" customFormat="false" ht="15" hidden="false" customHeight="false" outlineLevel="0" collapsed="false">
      <c r="A7" s="7" t="s">
        <v>195</v>
      </c>
      <c r="B7" s="20"/>
    </row>
    <row r="8" customFormat="false" ht="15" hidden="false" customHeight="false" outlineLevel="0" collapsed="false">
      <c r="A8" s="7" t="s">
        <v>196</v>
      </c>
      <c r="B8" s="20"/>
    </row>
    <row r="9" customFormat="false" ht="15" hidden="false" customHeight="false" outlineLevel="0" collapsed="false">
      <c r="A9" s="7" t="s">
        <v>197</v>
      </c>
      <c r="B9" s="20"/>
    </row>
    <row r="10" customFormat="false" ht="15" hidden="false" customHeight="false" outlineLevel="0" collapsed="false">
      <c r="A10" s="7" t="s">
        <v>198</v>
      </c>
      <c r="B10" s="20"/>
    </row>
    <row r="11" customFormat="false" ht="15" hidden="false" customHeight="false" outlineLevel="0" collapsed="false">
      <c r="A11" s="7" t="s">
        <v>199</v>
      </c>
      <c r="B11" s="15" t="n">
        <f aca="false">B6-SUM(B7:B10)</f>
        <v>0</v>
      </c>
    </row>
    <row r="12" customFormat="false" ht="15" hidden="false" customHeight="false" outlineLevel="0" collapsed="false">
      <c r="A12" s="7" t="s">
        <v>200</v>
      </c>
      <c r="B12" s="15" t="n">
        <f aca="false">SUMIFS(Expenses!F2:F24,Expenses!G2:G24,"Cash")</f>
        <v>32371</v>
      </c>
    </row>
    <row r="13" customFormat="false" ht="15" hidden="false" customHeight="false" outlineLevel="0" collapsed="false">
      <c r="A13" s="7" t="s">
        <v>201</v>
      </c>
      <c r="B13" s="15" t="n">
        <f aca="false">Staff_Payments!E17</f>
        <v>9770</v>
      </c>
    </row>
    <row r="14" customFormat="false" ht="15" hidden="false" customHeight="false" outlineLevel="0" collapsed="false">
      <c r="A14" s="21" t="s">
        <v>202</v>
      </c>
      <c r="B14" s="22" t="n">
        <f aca="false">B5+B7-B12-B13</f>
        <v>-40141</v>
      </c>
    </row>
    <row r="15" customFormat="false" ht="15" hidden="false" customHeight="false" outlineLevel="0" collapsed="false">
      <c r="A15" s="7" t="s">
        <v>203</v>
      </c>
      <c r="B15" s="20"/>
    </row>
    <row r="16" customFormat="false" ht="15" hidden="false" customHeight="false" outlineLevel="0" collapsed="false">
      <c r="A16" s="7" t="s">
        <v>204</v>
      </c>
      <c r="B16" s="15" t="str">
        <f aca="false">IF(B15="","",B15-B14)</f>
        <v/>
      </c>
    </row>
    <row r="17" customFormat="false" ht="15" hidden="false" customHeight="false" outlineLevel="0" collapsed="false">
      <c r="A17" s="7" t="s">
        <v>205</v>
      </c>
      <c r="B17" s="23"/>
    </row>
    <row r="18" customFormat="false" ht="15" hidden="false" customHeight="false" outlineLevel="0" collapsed="false">
      <c r="A18" s="7" t="s">
        <v>206</v>
      </c>
      <c r="B18" s="23" t="s">
        <v>207</v>
      </c>
    </row>
    <row r="20" customFormat="false" ht="15" hidden="false" customHeight="false" outlineLevel="0" collapsed="false">
      <c r="A20" s="14" t="s">
        <v>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6" t="s">
        <v>83</v>
      </c>
      <c r="B1" s="6" t="s">
        <v>85</v>
      </c>
      <c r="C1" s="6" t="s">
        <v>209</v>
      </c>
    </row>
    <row r="2" customFormat="false" ht="15" hidden="false" customHeight="false" outlineLevel="0" collapsed="false">
      <c r="A2" s="7" t="s">
        <v>93</v>
      </c>
      <c r="B2" s="15" t="n">
        <f aca="false">SUMIFS(Expenses!F2:F24,Expenses!D2:D24,A2)</f>
        <v>8510</v>
      </c>
      <c r="C2" s="24" t="n">
        <f aca="false">IF($B$6=0,0,B2/$B$6)</f>
        <v>0.262889623428377</v>
      </c>
    </row>
    <row r="3" customFormat="false" ht="15" hidden="false" customHeight="false" outlineLevel="0" collapsed="false">
      <c r="A3" s="7" t="s">
        <v>108</v>
      </c>
      <c r="B3" s="15" t="n">
        <f aca="false">SUMIFS(Expenses!F2:F24,Expenses!D2:D24,A3)</f>
        <v>9444</v>
      </c>
      <c r="C3" s="24" t="n">
        <f aca="false">IF($B$6=0,0,B3/$B$6)</f>
        <v>0.291742609125452</v>
      </c>
    </row>
    <row r="4" customFormat="false" ht="15" hidden="false" customHeight="false" outlineLevel="0" collapsed="false">
      <c r="A4" s="7" t="s">
        <v>111</v>
      </c>
      <c r="B4" s="15" t="n">
        <f aca="false">SUMIFS(Expenses!F2:F24,Expenses!D2:D24,A4)</f>
        <v>3877</v>
      </c>
      <c r="C4" s="24" t="n">
        <f aca="false">IF($B$6=0,0,B4/$B$6)</f>
        <v>0.119767693305737</v>
      </c>
    </row>
    <row r="5" customFormat="false" ht="15" hidden="false" customHeight="false" outlineLevel="0" collapsed="false">
      <c r="A5" s="7" t="s">
        <v>120</v>
      </c>
      <c r="B5" s="15" t="n">
        <f aca="false">SUMIFS(Expenses!F2:F24,Expenses!D2:D24,A5)</f>
        <v>10540</v>
      </c>
      <c r="C5" s="24" t="n">
        <f aca="false">IF($B$6=0,0,B5/$B$6)</f>
        <v>0.325600074140434</v>
      </c>
    </row>
    <row r="6" customFormat="false" ht="15" hidden="false" customHeight="false" outlineLevel="0" collapsed="false">
      <c r="A6" s="2" t="s">
        <v>151</v>
      </c>
      <c r="B6" s="13" t="n">
        <f aca="false">SUM(B2:B5)</f>
        <v>32371</v>
      </c>
    </row>
    <row r="8" customFormat="false" ht="15" hidden="false" customHeight="false" outlineLevel="0" collapsed="false">
      <c r="A8" s="3" t="s">
        <v>210</v>
      </c>
      <c r="B8" s="25" t="n">
        <f aca="false">B6-Ledger_Raw!F27</f>
        <v>0</v>
      </c>
      <c r="C8" s="14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2026-10-24T14:21:51Z</dcterms:created>
  <dc:creator>openpyxl</dc:creator>
  <dc:description/>
  <dc:language>en-US</dc:language>
  <cp:lastModifiedBy/>
  <dcterms:modified xsi:type="dcterms:W3CDTF">2026-10-24T14:21:51Z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